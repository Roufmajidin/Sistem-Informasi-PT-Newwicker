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ufm\Downloads\"/>
    </mc:Choice>
  </mc:AlternateContent>
  <xr:revisionPtr revIDLastSave="0" documentId="13_ncr:1_{C92DA482-AF1E-44FA-A043-798F5277CF1F}" xr6:coauthVersionLast="47" xr6:coauthVersionMax="47" xr10:uidLastSave="{00000000-0000-0000-0000-000000000000}"/>
  <bookViews>
    <workbookView xWindow="-120" yWindow="-120" windowWidth="20730" windowHeight="11040" xr2:uid="{DF8442EF-5A90-48BE-8C2F-2B05518BDF93}"/>
  </bookViews>
  <sheets>
    <sheet name="Sheet1 (2)" sheetId="2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4" i="2" l="1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74" i="2" l="1"/>
</calcChain>
</file>

<file path=xl/sharedStrings.xml><?xml version="1.0" encoding="utf-8"?>
<sst xmlns="http://schemas.openxmlformats.org/spreadsheetml/2006/main" count="344" uniqueCount="162">
  <si>
    <t xml:space="preserve">  </t>
  </si>
  <si>
    <t>tanggal                     :</t>
  </si>
  <si>
    <t>nomor                      :</t>
  </si>
  <si>
    <t>12012-02</t>
  </si>
  <si>
    <t>type pembayaran                              :</t>
  </si>
  <si>
    <t>cash+tf</t>
  </si>
  <si>
    <t>No.</t>
  </si>
  <si>
    <t>Date</t>
  </si>
  <si>
    <t>NO PO</t>
  </si>
  <si>
    <t>NO. INV / NO. SPK</t>
  </si>
  <si>
    <t>TYPE BIAYA</t>
  </si>
  <si>
    <t>Nama Barang/Item/Jasa</t>
  </si>
  <si>
    <t>QTY</t>
  </si>
  <si>
    <t xml:space="preserve"> Estimasi
Harga Satuan </t>
  </si>
  <si>
    <t xml:space="preserve"> Total Harga </t>
  </si>
  <si>
    <t>x</t>
  </si>
  <si>
    <t> </t>
  </si>
  <si>
    <t>NW 25-12</t>
  </si>
  <si>
    <t>Type A</t>
  </si>
  <si>
    <t>A</t>
  </si>
  <si>
    <t>NW 25-13</t>
  </si>
  <si>
    <t>B</t>
  </si>
  <si>
    <t>NW 25-14</t>
  </si>
  <si>
    <t>NW 25-15</t>
  </si>
  <si>
    <t>NW 25-16</t>
  </si>
  <si>
    <t>NW 25-17</t>
  </si>
  <si>
    <t>NW 25-18</t>
  </si>
  <si>
    <t>NW 25-19</t>
  </si>
  <si>
    <t>NW 25-20</t>
  </si>
  <si>
    <t>INV-2012-20</t>
  </si>
  <si>
    <t>NW 25-21</t>
  </si>
  <si>
    <t>INV-2012-21</t>
  </si>
  <si>
    <t>NW 25-22</t>
  </si>
  <si>
    <t>INV-2012-22</t>
  </si>
  <si>
    <t>NW 25-23</t>
  </si>
  <si>
    <t>INV-2012-23</t>
  </si>
  <si>
    <t>NW 25-24</t>
  </si>
  <si>
    <t>INV-2012-24</t>
  </si>
  <si>
    <t>NW 25-25</t>
  </si>
  <si>
    <t>INV-2012-25</t>
  </si>
  <si>
    <t>NW 25-26</t>
  </si>
  <si>
    <t>INV-2012-26</t>
  </si>
  <si>
    <t>NW 25-27</t>
  </si>
  <si>
    <t>INV-2012-27</t>
  </si>
  <si>
    <t>NW 25-28</t>
  </si>
  <si>
    <t>INV-2012-28</t>
  </si>
  <si>
    <t>NW 25-29</t>
  </si>
  <si>
    <t>INV-2012-29</t>
  </si>
  <si>
    <t>NW 25-30</t>
  </si>
  <si>
    <t>INV-2012-30</t>
  </si>
  <si>
    <t>NW 25-31</t>
  </si>
  <si>
    <t>INV-2012-31</t>
  </si>
  <si>
    <t>NW 25-32</t>
  </si>
  <si>
    <t>INV-2012-32</t>
  </si>
  <si>
    <t>NW 25-33</t>
  </si>
  <si>
    <t>INV-2012-33</t>
  </si>
  <si>
    <t>NW 25-34</t>
  </si>
  <si>
    <t>INV-2012-34</t>
  </si>
  <si>
    <t>NW 25-35</t>
  </si>
  <si>
    <t>INV-2012-35</t>
  </si>
  <si>
    <t>NW 25-36</t>
  </si>
  <si>
    <t>INV-2012-36</t>
  </si>
  <si>
    <t>NW 25-37</t>
  </si>
  <si>
    <t>INV-2012-37</t>
  </si>
  <si>
    <t>NW 25-38</t>
  </si>
  <si>
    <t>INV-2012-38</t>
  </si>
  <si>
    <t>NW 25-39</t>
  </si>
  <si>
    <t>INV-2012-39</t>
  </si>
  <si>
    <t>NW 25-40</t>
  </si>
  <si>
    <t>INV-2012-40</t>
  </si>
  <si>
    <t>NW 25-41</t>
  </si>
  <si>
    <t>INV-2012-41</t>
  </si>
  <si>
    <t>NW 25-42</t>
  </si>
  <si>
    <t>INV-2012-42</t>
  </si>
  <si>
    <t>NW 25-43</t>
  </si>
  <si>
    <t>INV-2012-43</t>
  </si>
  <si>
    <t>NW 25-44</t>
  </si>
  <si>
    <t>INV-2012-44</t>
  </si>
  <si>
    <t>NW 25-45</t>
  </si>
  <si>
    <t>INV-2012-45</t>
  </si>
  <si>
    <t>NW 25-46</t>
  </si>
  <si>
    <t>INV-2012-46</t>
  </si>
  <si>
    <t>NW 25-47</t>
  </si>
  <si>
    <t>INV-2012-47</t>
  </si>
  <si>
    <t>NW 25-48</t>
  </si>
  <si>
    <t>INV-2012-48</t>
  </si>
  <si>
    <t>NW 25-49</t>
  </si>
  <si>
    <t>INV-2012-49</t>
  </si>
  <si>
    <t>NW 25-50</t>
  </si>
  <si>
    <t>INV-2012-50</t>
  </si>
  <si>
    <t>NW 25-51</t>
  </si>
  <si>
    <t>INV-2012-51</t>
  </si>
  <si>
    <t>NW 25-52</t>
  </si>
  <si>
    <t>INV-2012-52</t>
  </si>
  <si>
    <t>NW 25-53</t>
  </si>
  <si>
    <t>INV-2012-53</t>
  </si>
  <si>
    <t>NW 25-54</t>
  </si>
  <si>
    <t>INV-2012-54</t>
  </si>
  <si>
    <t>NW 25-55</t>
  </si>
  <si>
    <t>INV-2012-55</t>
  </si>
  <si>
    <t>NW 25-56</t>
  </si>
  <si>
    <t>INV-2012-56</t>
  </si>
  <si>
    <t>NW 25-57</t>
  </si>
  <si>
    <t>INV-2012-57</t>
  </si>
  <si>
    <t>NW 25-58</t>
  </si>
  <si>
    <t>INV-2012-58</t>
  </si>
  <si>
    <t>NW 25-59</t>
  </si>
  <si>
    <t>INV-2012-59</t>
  </si>
  <si>
    <t>NW 25-60</t>
  </si>
  <si>
    <t>INV-2012-60</t>
  </si>
  <si>
    <t>NW 25-61</t>
  </si>
  <si>
    <t>INV-2012-61</t>
  </si>
  <si>
    <t>NW 25-62</t>
  </si>
  <si>
    <t>INV-2012-62</t>
  </si>
  <si>
    <t>NW 25-63</t>
  </si>
  <si>
    <t>INV-2012-63</t>
  </si>
  <si>
    <t>NW 25-64</t>
  </si>
  <si>
    <t>INV-2012-64</t>
  </si>
  <si>
    <t>NW 25-65</t>
  </si>
  <si>
    <t>INV-2012-65</t>
  </si>
  <si>
    <t>NW 25-66</t>
  </si>
  <si>
    <t>INV-2012-66</t>
  </si>
  <si>
    <t>NW 25-67</t>
  </si>
  <si>
    <t>INV-2012-67</t>
  </si>
  <si>
    <t>NW 25-68</t>
  </si>
  <si>
    <t>INV-2012-68</t>
  </si>
  <si>
    <t>NW 25-69</t>
  </si>
  <si>
    <t>INV-2012-69</t>
  </si>
  <si>
    <t>NW 25-70</t>
  </si>
  <si>
    <t>INV-2012-70</t>
  </si>
  <si>
    <t>NW 25-71</t>
  </si>
  <si>
    <t>INV-2012-71</t>
  </si>
  <si>
    <t>NW 25-72</t>
  </si>
  <si>
    <t>INV-2012-72</t>
  </si>
  <si>
    <t>NW 25-73</t>
  </si>
  <si>
    <t>INV-2012-73</t>
  </si>
  <si>
    <t>TRANSFER</t>
  </si>
  <si>
    <t>CASH+TRANSFER</t>
  </si>
  <si>
    <t>Made By</t>
  </si>
  <si>
    <t xml:space="preserve">CHECKED By </t>
  </si>
  <si>
    <t>KNOWING By</t>
  </si>
  <si>
    <t>APPROVE By</t>
  </si>
  <si>
    <t xml:space="preserve"> RECORD &amp; CASHIED By </t>
  </si>
  <si>
    <t xml:space="preserve">   </t>
  </si>
  <si>
    <t>SHELLA</t>
  </si>
  <si>
    <t>YANTI SUSANTI</t>
  </si>
  <si>
    <t>Mr Stanley</t>
  </si>
  <si>
    <t>Mr Jan</t>
  </si>
  <si>
    <t>EKA WL</t>
  </si>
  <si>
    <t>AINUN</t>
  </si>
  <si>
    <t xml:space="preserve"> </t>
  </si>
  <si>
    <t>INV-2012-74</t>
  </si>
  <si>
    <t>INV-2012-75</t>
  </si>
  <si>
    <t>INV-2012-76</t>
  </si>
  <si>
    <t>INV-2012-77</t>
  </si>
  <si>
    <t>INV-2012-78</t>
  </si>
  <si>
    <t>INV-2012-79</t>
  </si>
  <si>
    <t>INV-2012-80</t>
  </si>
  <si>
    <t>INV-2012-81</t>
  </si>
  <si>
    <t>INV-2012-82</t>
  </si>
  <si>
    <t>25/4/2026</t>
  </si>
  <si>
    <t>25/5/2024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</si>
</sst>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3809]dd/mm/yyyy;@"/>
    <numFmt numFmtId="165" formatCode="_-* #,##0_-;\-* #,##0_-;_-* &quot;-&quot;??_-;_-@_-"/>
    <numFmt numFmtId="166" formatCode="mm/dd/yy;@"/>
  </numFmts>
  <fonts count="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DD7E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4" fontId="1" fillId="0" borderId="0" xfId="0" applyNumberFormat="1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/>
    </xf>
    <xf numFmtId="0" fontId="1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left"/>
    </xf>
    <xf numFmtId="0" fontId="1" fillId="3" borderId="4" xfId="0" applyFont="1" applyFill="1" applyBorder="1"/>
    <xf numFmtId="0" fontId="1" fillId="4" borderId="5" xfId="0" applyFont="1" applyFill="1" applyBorder="1" applyAlignment="1">
      <alignment vertical="center"/>
    </xf>
    <xf numFmtId="0" fontId="1" fillId="3" borderId="1" xfId="0" applyFont="1" applyFill="1" applyBorder="1"/>
    <xf numFmtId="0" fontId="1" fillId="3" borderId="6" xfId="0" applyFont="1" applyFill="1" applyBorder="1"/>
    <xf numFmtId="0" fontId="1" fillId="3" borderId="6" xfId="0" applyFont="1" applyFill="1" applyBorder="1" applyAlignment="1">
      <alignment horizontal="center"/>
    </xf>
    <xf numFmtId="0" fontId="1" fillId="3" borderId="0" xfId="0" applyFont="1" applyFill="1"/>
    <xf numFmtId="3" fontId="1" fillId="3" borderId="7" xfId="0" applyNumberFormat="1" applyFont="1" applyFill="1" applyBorder="1"/>
    <xf numFmtId="0" fontId="1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1" fillId="4" borderId="3" xfId="0" applyFont="1" applyFill="1" applyBorder="1"/>
    <xf numFmtId="0" fontId="1" fillId="4" borderId="3" xfId="0" applyFont="1" applyFill="1" applyBorder="1" applyAlignment="1">
      <alignment vertical="center"/>
    </xf>
    <xf numFmtId="0" fontId="1" fillId="4" borderId="3" xfId="0" applyFont="1" applyFill="1" applyBorder="1" applyAlignment="1">
      <alignment horizontal="center"/>
    </xf>
    <xf numFmtId="165" fontId="1" fillId="4" borderId="3" xfId="0" applyNumberFormat="1" applyFont="1" applyFill="1" applyBorder="1"/>
    <xf numFmtId="165" fontId="5" fillId="4" borderId="3" xfId="0" applyNumberFormat="1" applyFont="1" applyFill="1" applyBorder="1"/>
    <xf numFmtId="0" fontId="1" fillId="4" borderId="4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left"/>
    </xf>
    <xf numFmtId="0" fontId="1" fillId="4" borderId="1" xfId="0" applyFont="1" applyFill="1" applyBorder="1"/>
    <xf numFmtId="0" fontId="1" fillId="4" borderId="6" xfId="0" applyFont="1" applyFill="1" applyBorder="1" applyAlignment="1">
      <alignment horizontal="center"/>
    </xf>
    <xf numFmtId="0" fontId="1" fillId="4" borderId="0" xfId="0" applyFont="1" applyFill="1"/>
    <xf numFmtId="0" fontId="1" fillId="5" borderId="9" xfId="0" applyFont="1" applyFill="1" applyBorder="1" applyAlignment="1">
      <alignment horizontal="center"/>
    </xf>
    <xf numFmtId="164" fontId="1" fillId="0" borderId="7" xfId="0" applyNumberFormat="1" applyFont="1" applyBorder="1" applyAlignment="1">
      <alignment horizontal="left"/>
    </xf>
    <xf numFmtId="0" fontId="1" fillId="0" borderId="7" xfId="0" applyFont="1" applyBorder="1"/>
    <xf numFmtId="166" fontId="1" fillId="0" borderId="7" xfId="0" quotePrefix="1" applyNumberFormat="1" applyFont="1" applyBorder="1"/>
    <xf numFmtId="0" fontId="1" fillId="0" borderId="10" xfId="0" applyFont="1" applyBorder="1"/>
    <xf numFmtId="0" fontId="1" fillId="5" borderId="11" xfId="0" applyFont="1" applyFill="1" applyBorder="1" applyAlignment="1">
      <alignment horizontal="center"/>
    </xf>
    <xf numFmtId="3" fontId="1" fillId="0" borderId="1" xfId="0" applyNumberFormat="1" applyFont="1" applyBorder="1"/>
    <xf numFmtId="165" fontId="1" fillId="0" borderId="7" xfId="0" applyNumberFormat="1" applyFont="1" applyBorder="1"/>
    <xf numFmtId="0" fontId="1" fillId="5" borderId="12" xfId="0" applyFont="1" applyFill="1" applyBorder="1"/>
    <xf numFmtId="0" fontId="1" fillId="5" borderId="10" xfId="0" applyFont="1" applyFill="1" applyBorder="1" applyAlignment="1">
      <alignment horizontal="center"/>
    </xf>
    <xf numFmtId="165" fontId="1" fillId="0" borderId="10" xfId="0" applyNumberFormat="1" applyFont="1" applyBorder="1"/>
    <xf numFmtId="165" fontId="1" fillId="0" borderId="1" xfId="0" applyNumberFormat="1" applyFont="1" applyBorder="1"/>
    <xf numFmtId="165" fontId="1" fillId="0" borderId="11" xfId="0" applyNumberFormat="1" applyFont="1" applyBorder="1"/>
    <xf numFmtId="0" fontId="4" fillId="3" borderId="13" xfId="0" applyFont="1" applyFill="1" applyBorder="1" applyAlignment="1">
      <alignment horizontal="left"/>
    </xf>
    <xf numFmtId="0" fontId="1" fillId="3" borderId="3" xfId="0" applyFont="1" applyFill="1" applyBorder="1"/>
    <xf numFmtId="3" fontId="6" fillId="3" borderId="3" xfId="0" applyNumberFormat="1" applyFont="1" applyFill="1" applyBorder="1"/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left"/>
    </xf>
    <xf numFmtId="0" fontId="4" fillId="4" borderId="16" xfId="0" applyFont="1" applyFill="1" applyBorder="1"/>
    <xf numFmtId="0" fontId="4" fillId="4" borderId="3" xfId="0" applyFont="1" applyFill="1" applyBorder="1"/>
    <xf numFmtId="0" fontId="4" fillId="4" borderId="17" xfId="0" applyFont="1" applyFill="1" applyBorder="1"/>
    <xf numFmtId="0" fontId="4" fillId="4" borderId="18" xfId="0" applyFont="1" applyFill="1" applyBorder="1" applyAlignment="1">
      <alignment horizontal="center"/>
    </xf>
    <xf numFmtId="3" fontId="4" fillId="4" borderId="3" xfId="0" applyNumberFormat="1" applyFont="1" applyFill="1" applyBorder="1" applyAlignment="1">
      <alignment horizontal="right"/>
    </xf>
    <xf numFmtId="3" fontId="4" fillId="4" borderId="18" xfId="0" applyNumberFormat="1" applyFont="1" applyFill="1" applyBorder="1"/>
    <xf numFmtId="0" fontId="1" fillId="4" borderId="7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3" fontId="5" fillId="3" borderId="1" xfId="0" applyNumberFormat="1" applyFont="1" applyFill="1" applyBorder="1"/>
    <xf numFmtId="0" fontId="1" fillId="5" borderId="19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left"/>
    </xf>
    <xf numFmtId="0" fontId="1" fillId="5" borderId="19" xfId="0" applyFont="1" applyFill="1" applyBorder="1"/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5" borderId="20" xfId="0" applyFont="1" applyFill="1" applyBorder="1" applyAlignment="1">
      <alignment horizontal="left"/>
    </xf>
    <xf numFmtId="0" fontId="1" fillId="5" borderId="20" xfId="0" applyFont="1" applyFill="1" applyBorder="1"/>
    <xf numFmtId="0" fontId="1" fillId="5" borderId="20" xfId="0" applyFont="1" applyFill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3" fillId="0" borderId="21" xfId="0" applyFont="1" applyBorder="1" applyAlignment="1">
      <alignment horizontal="left"/>
    </xf>
    <xf numFmtId="0" fontId="3" fillId="0" borderId="2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5" borderId="23" xfId="0" applyFont="1" applyFill="1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18" xfId="0" applyFont="1" applyFill="1" applyBorder="1"/>
    <xf numFmtId="0" fontId="1" fillId="5" borderId="0" xfId="0" applyFont="1" applyFill="1"/>
    <xf numFmtId="0" fontId="1" fillId="5" borderId="17" xfId="0" applyFont="1" applyFill="1" applyBorder="1"/>
    <xf numFmtId="0" fontId="1" fillId="5" borderId="0" xfId="0" applyFont="1" applyFill="1" applyAlignment="1">
      <alignment horizontal="center"/>
    </xf>
    <xf numFmtId="0" fontId="1" fillId="5" borderId="27" xfId="0" applyFont="1" applyFill="1" applyBorder="1"/>
    <xf numFmtId="0" fontId="1" fillId="5" borderId="15" xfId="0" applyFont="1" applyFill="1" applyBorder="1" applyAlignment="1">
      <alignment horizontal="left"/>
    </xf>
    <xf numFmtId="0" fontId="1" fillId="5" borderId="16" xfId="0" applyFont="1" applyFill="1" applyBorder="1"/>
    <xf numFmtId="0" fontId="1" fillId="0" borderId="10" xfId="0" applyFont="1" applyBorder="1" applyAlignment="1">
      <alignment horizontal="center" wrapText="1"/>
    </xf>
    <xf numFmtId="0" fontId="3" fillId="0" borderId="28" xfId="0" applyFont="1" applyBorder="1" applyAlignment="1">
      <alignment horizontal="left" wrapText="1"/>
    </xf>
    <xf numFmtId="0" fontId="3" fillId="0" borderId="29" xfId="0" applyFont="1" applyBorder="1" applyAlignment="1">
      <alignment horizontal="center" wrapText="1"/>
    </xf>
    <xf numFmtId="0" fontId="3" fillId="0" borderId="28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33" xfId="0" applyFont="1" applyBorder="1" applyAlignment="1">
      <alignment horizontal="center"/>
    </xf>
  </cellXfs>
  <cellStyles count="1"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general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/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 style="medium">
          <color indexed="64"/>
        </bottom>
        <vertical/>
        <horizontal/>
      </border>
    </dxf>
    <dxf>
      <border outline="0">
        <top style="thin">
          <color rgb="FF000000"/>
        </top>
      </border>
    </dxf>
    <dxf>
      <font>
        <sz val="9"/>
        <name val="Calibri"/>
        <scheme val="minor"/>
      </font>
    </dxf>
    <dxf>
      <font>
        <sz val="9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76200</xdr:rowOff>
    </xdr:from>
    <xdr:to>
      <xdr:col>2</xdr:col>
      <xdr:colOff>542925</xdr:colOff>
      <xdr:row>3</xdr:row>
      <xdr:rowOff>85725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06563733-7708-4BF1-A715-7BA63E11E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76200"/>
          <a:ext cx="1695450" cy="581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B09635-22E7-4ECD-8132-9175650BA9C0}" name="Table13428911121315162345612154610162323456791114236121525" displayName="Table13428911121315162345612154610162323456791114236121525" ref="A7:I85" totalsRowShown="0" headerRowDxfId="11" dataDxfId="10" tableBorderDxfId="9">
  <autoFilter ref="A7:I85" xr:uid="{C2EE923C-6598-4F5E-95DF-7897C5EA282A}"/>
  <tableColumns count="9">
    <tableColumn id="1" xr3:uid="{B755EE8C-F0D2-4F3A-9334-B0A70C322C85}" name="No." dataDxfId="8"/>
    <tableColumn id="2" xr3:uid="{6B443557-25C7-4710-9F21-58CBA0C0C521}" name="Date" dataDxfId="7"/>
    <tableColumn id="3" xr3:uid="{DD5F0C3F-CF7D-43EA-95B0-C8C186078CF0}" name="NO PO" dataDxfId="6"/>
    <tableColumn id="4" xr3:uid="{F1E0CFC6-0BF4-4747-81CE-8046892752B7}" name="NO. INV / NO. SPK" dataDxfId="5"/>
    <tableColumn id="5" xr3:uid="{8E3F0352-6482-4626-BB48-9619F6A7E0B0}" name="TYPE BIAYA" dataDxfId="4"/>
    <tableColumn id="6" xr3:uid="{46B76A4F-0646-4940-92D3-53BD978991AC}" name="Nama Barang/Item/Jasa" dataDxfId="3"/>
    <tableColumn id="7" xr3:uid="{6054A955-597D-4965-BC55-380C5F058A6B}" name="QTY" dataDxfId="2"/>
    <tableColumn id="8" xr3:uid="{C47EC630-694A-4031-899B-0E205927BC49}" name=" Estimasi_x000a_Harga Satuan " dataDxfId="1"/>
    <tableColumn id="9" xr3:uid="{D0183B44-CBB1-4EAC-B818-7AC721B1CC6F}" name=" Total Harga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C727A-A737-44C2-B4CD-2CD3C7A86DED}">
  <dimension ref="A1:I86"/>
  <sheetViews>
    <sheetView tabSelected="1" zoomScaleNormal="100" workbookViewId="0">
      <selection activeCell="G4" sqref="G4"/>
    </sheetView>
  </sheetViews>
  <sheetFormatPr defaultRowHeight="15" x14ac:dyDescent="0.25"/>
  <cols>
    <col min="4" max="5" width="18.140625" customWidth="1"/>
    <col min="8" max="8" width="27.28515625" customWidth="1"/>
    <col min="9" max="9" width="27.5703125" customWidth="1"/>
  </cols>
  <sheetData>
    <row r="1" spans="1:9" x14ac:dyDescent="0.25">
      <c r="A1" s="1"/>
      <c r="B1" s="2"/>
      <c r="C1" s="3"/>
      <c r="D1" s="3"/>
      <c r="E1" s="3"/>
      <c r="F1" s="3"/>
      <c r="G1" s="4"/>
      <c r="H1" s="4"/>
      <c r="I1" s="4"/>
    </row>
    <row r="2" spans="1:9" x14ac:dyDescent="0.25">
      <c r="A2" s="1"/>
      <c r="B2" s="2"/>
      <c r="C2" s="3"/>
      <c r="D2" s="3" t="s">
        <v>0</v>
      </c>
      <c r="E2" s="3"/>
      <c r="F2" s="3"/>
      <c r="G2" s="4"/>
      <c r="H2" s="4"/>
      <c r="I2" s="4"/>
    </row>
    <row r="3" spans="1:9" x14ac:dyDescent="0.25">
      <c r="A3" s="1"/>
      <c r="B3" s="2"/>
      <c r="C3" s="3"/>
      <c r="D3" s="3"/>
      <c r="E3" s="3"/>
      <c r="F3" s="3"/>
      <c r="G3" s="1"/>
      <c r="H3" s="3"/>
      <c r="I3" s="3"/>
    </row>
    <row r="4" spans="1:9" x14ac:dyDescent="0.25">
      <c r="A4" s="1"/>
      <c r="B4" s="2"/>
      <c r="C4" s="3"/>
      <c r="D4" s="3"/>
      <c r="E4" s="3"/>
      <c r="F4" s="3"/>
      <c r="G4" s="1"/>
      <c r="H4" s="3"/>
      <c r="I4" s="3"/>
    </row>
    <row r="5" spans="1:9" x14ac:dyDescent="0.25">
      <c r="A5" s="1"/>
      <c r="B5" s="2" t="s">
        <v>1</v>
      </c>
      <c r="C5" s="5"/>
      <c r="D5" s="6" t="s">
        <v>161</v>
      </c>
      <c r="E5" s="3"/>
      <c r="F5" s="3"/>
      <c r="G5" s="1"/>
      <c r="H5" s="3"/>
      <c r="I5" s="3"/>
    </row>
    <row r="6" spans="1:9" x14ac:dyDescent="0.25">
      <c r="A6" s="1"/>
      <c r="B6" s="2" t="s">
        <v>2</v>
      </c>
      <c r="C6" s="3"/>
      <c r="D6" s="3" t="s">
        <v>3</v>
      </c>
      <c r="E6" s="3" t="s">
        <v>4</v>
      </c>
      <c r="F6" s="3"/>
      <c r="G6" s="1" t="s">
        <v>5</v>
      </c>
      <c r="H6" s="3"/>
      <c r="I6" s="3"/>
    </row>
    <row r="7" spans="1:9" ht="24" x14ac:dyDescent="0.25">
      <c r="A7" s="7" t="s">
        <v>6</v>
      </c>
      <c r="B7" s="8" t="s">
        <v>7</v>
      </c>
      <c r="C7" s="9" t="s">
        <v>8</v>
      </c>
      <c r="D7" s="9" t="s">
        <v>9</v>
      </c>
      <c r="E7" s="10" t="s">
        <v>10</v>
      </c>
      <c r="F7" s="9" t="s">
        <v>11</v>
      </c>
      <c r="G7" s="7" t="s">
        <v>12</v>
      </c>
      <c r="H7" s="11" t="s">
        <v>13</v>
      </c>
      <c r="I7" s="12" t="s">
        <v>14</v>
      </c>
    </row>
    <row r="8" spans="1:9" x14ac:dyDescent="0.25">
      <c r="A8" s="13"/>
      <c r="B8" s="14"/>
      <c r="C8" s="15"/>
      <c r="D8" s="16"/>
      <c r="E8" s="17"/>
      <c r="F8" s="18"/>
      <c r="G8" s="19"/>
      <c r="H8" s="20"/>
      <c r="I8" s="21"/>
    </row>
    <row r="9" spans="1:9" x14ac:dyDescent="0.25">
      <c r="A9" s="22" t="s">
        <v>15</v>
      </c>
      <c r="B9" s="23"/>
      <c r="C9" s="24"/>
      <c r="D9" s="25"/>
      <c r="E9" s="24"/>
      <c r="F9" s="24"/>
      <c r="G9" s="26"/>
      <c r="H9" s="27"/>
      <c r="I9" s="28"/>
    </row>
    <row r="10" spans="1:9" x14ac:dyDescent="0.25">
      <c r="A10" s="29"/>
      <c r="B10" s="30"/>
      <c r="C10" s="31"/>
      <c r="D10" s="31"/>
      <c r="E10" s="31"/>
      <c r="F10" s="31"/>
      <c r="G10" s="32"/>
      <c r="H10" s="33"/>
      <c r="I10" s="31" t="s">
        <v>16</v>
      </c>
    </row>
    <row r="11" spans="1:9" x14ac:dyDescent="0.25">
      <c r="A11" s="34">
        <v>1</v>
      </c>
      <c r="B11" s="35" t="s">
        <v>160</v>
      </c>
      <c r="C11" s="36" t="s">
        <v>17</v>
      </c>
      <c r="D11" s="37" t="s">
        <v>29</v>
      </c>
      <c r="E11" s="38" t="s">
        <v>18</v>
      </c>
      <c r="F11" s="36" t="s">
        <v>19</v>
      </c>
      <c r="G11" s="39">
        <v>12</v>
      </c>
      <c r="H11" s="40">
        <v>120000</v>
      </c>
      <c r="I11" s="41">
        <f>H11*G11</f>
        <v>1440000</v>
      </c>
    </row>
    <row r="12" spans="1:9" x14ac:dyDescent="0.25">
      <c r="A12" s="34">
        <v>2</v>
      </c>
      <c r="B12" s="35">
        <v>46361</v>
      </c>
      <c r="C12" s="36" t="s">
        <v>20</v>
      </c>
      <c r="D12" s="37" t="s">
        <v>31</v>
      </c>
      <c r="E12" s="38" t="s">
        <v>18</v>
      </c>
      <c r="F12" s="42" t="s">
        <v>21</v>
      </c>
      <c r="G12" s="43">
        <v>13</v>
      </c>
      <c r="H12" s="40">
        <v>120000</v>
      </c>
      <c r="I12" s="41">
        <f t="shared" ref="I12:I73" si="0">H12*G12</f>
        <v>1560000</v>
      </c>
    </row>
    <row r="13" spans="1:9" x14ac:dyDescent="0.25">
      <c r="A13" s="34">
        <v>3</v>
      </c>
      <c r="B13" s="35">
        <v>46362</v>
      </c>
      <c r="C13" s="36" t="s">
        <v>22</v>
      </c>
      <c r="D13" s="37" t="s">
        <v>33</v>
      </c>
      <c r="E13" s="38" t="s">
        <v>18</v>
      </c>
      <c r="F13" s="36" t="s">
        <v>19</v>
      </c>
      <c r="G13" s="39">
        <v>14</v>
      </c>
      <c r="H13" s="40">
        <v>120000</v>
      </c>
      <c r="I13" s="41">
        <f t="shared" si="0"/>
        <v>1680000</v>
      </c>
    </row>
    <row r="14" spans="1:9" x14ac:dyDescent="0.25">
      <c r="A14" s="34">
        <v>4</v>
      </c>
      <c r="B14" s="35">
        <v>46363</v>
      </c>
      <c r="C14" s="36" t="s">
        <v>23</v>
      </c>
      <c r="D14" s="37" t="s">
        <v>35</v>
      </c>
      <c r="E14" s="38" t="s">
        <v>18</v>
      </c>
      <c r="F14" s="42" t="s">
        <v>21</v>
      </c>
      <c r="G14" s="43">
        <v>15</v>
      </c>
      <c r="H14" s="40">
        <v>120000</v>
      </c>
      <c r="I14" s="41">
        <f t="shared" si="0"/>
        <v>1800000</v>
      </c>
    </row>
    <row r="15" spans="1:9" x14ac:dyDescent="0.25">
      <c r="A15" s="34">
        <v>5</v>
      </c>
      <c r="B15" s="35">
        <v>46364</v>
      </c>
      <c r="C15" s="36" t="s">
        <v>24</v>
      </c>
      <c r="D15" s="37" t="s">
        <v>37</v>
      </c>
      <c r="E15" s="38" t="s">
        <v>18</v>
      </c>
      <c r="F15" s="36" t="s">
        <v>19</v>
      </c>
      <c r="G15" s="39">
        <v>16</v>
      </c>
      <c r="H15" s="40">
        <v>120000</v>
      </c>
      <c r="I15" s="41">
        <f t="shared" si="0"/>
        <v>1920000</v>
      </c>
    </row>
    <row r="16" spans="1:9" x14ac:dyDescent="0.25">
      <c r="A16" s="34">
        <v>6</v>
      </c>
      <c r="B16" s="35">
        <v>46365</v>
      </c>
      <c r="C16" s="36" t="s">
        <v>25</v>
      </c>
      <c r="D16" s="37" t="s">
        <v>39</v>
      </c>
      <c r="E16" s="38" t="s">
        <v>18</v>
      </c>
      <c r="F16" s="42" t="s">
        <v>21</v>
      </c>
      <c r="G16" s="43">
        <v>17</v>
      </c>
      <c r="H16" s="40">
        <v>120000</v>
      </c>
      <c r="I16" s="41">
        <f t="shared" si="0"/>
        <v>2040000</v>
      </c>
    </row>
    <row r="17" spans="1:9" x14ac:dyDescent="0.25">
      <c r="A17" s="34">
        <v>7</v>
      </c>
      <c r="B17" s="35">
        <v>46366</v>
      </c>
      <c r="C17" s="36" t="s">
        <v>26</v>
      </c>
      <c r="D17" s="37" t="s">
        <v>41</v>
      </c>
      <c r="E17" s="38" t="s">
        <v>18</v>
      </c>
      <c r="F17" s="36" t="s">
        <v>19</v>
      </c>
      <c r="G17" s="39">
        <v>18</v>
      </c>
      <c r="H17" s="40">
        <v>120000</v>
      </c>
      <c r="I17" s="41">
        <f t="shared" si="0"/>
        <v>2160000</v>
      </c>
    </row>
    <row r="18" spans="1:9" x14ac:dyDescent="0.25">
      <c r="A18" s="34">
        <v>8</v>
      </c>
      <c r="B18" s="35">
        <v>46367</v>
      </c>
      <c r="C18" s="36" t="s">
        <v>27</v>
      </c>
      <c r="D18" s="37" t="s">
        <v>43</v>
      </c>
      <c r="E18" s="38" t="s">
        <v>18</v>
      </c>
      <c r="F18" s="42" t="s">
        <v>21</v>
      </c>
      <c r="G18" s="43">
        <v>19</v>
      </c>
      <c r="H18" s="40">
        <v>120000</v>
      </c>
      <c r="I18" s="41">
        <f t="shared" si="0"/>
        <v>2280000</v>
      </c>
    </row>
    <row r="19" spans="1:9" x14ac:dyDescent="0.25">
      <c r="A19" s="34">
        <v>9</v>
      </c>
      <c r="B19" s="35">
        <v>46368</v>
      </c>
      <c r="C19" s="36" t="s">
        <v>28</v>
      </c>
      <c r="D19" s="37" t="s">
        <v>45</v>
      </c>
      <c r="E19" s="38" t="s">
        <v>18</v>
      </c>
      <c r="F19" s="36" t="s">
        <v>19</v>
      </c>
      <c r="G19" s="39">
        <v>20</v>
      </c>
      <c r="H19" s="40">
        <v>120000</v>
      </c>
      <c r="I19" s="41">
        <f t="shared" si="0"/>
        <v>2400000</v>
      </c>
    </row>
    <row r="20" spans="1:9" x14ac:dyDescent="0.25">
      <c r="A20" s="34">
        <v>10</v>
      </c>
      <c r="B20" s="35">
        <v>46369</v>
      </c>
      <c r="C20" s="36" t="s">
        <v>30</v>
      </c>
      <c r="D20" s="37" t="s">
        <v>47</v>
      </c>
      <c r="E20" s="38" t="s">
        <v>18</v>
      </c>
      <c r="F20" s="42" t="s">
        <v>21</v>
      </c>
      <c r="G20" s="43">
        <v>21</v>
      </c>
      <c r="H20" s="40">
        <v>120000</v>
      </c>
      <c r="I20" s="41">
        <f t="shared" si="0"/>
        <v>2520000</v>
      </c>
    </row>
    <row r="21" spans="1:9" x14ac:dyDescent="0.25">
      <c r="A21" s="34">
        <v>11</v>
      </c>
      <c r="B21" s="35">
        <v>46370</v>
      </c>
      <c r="C21" s="36" t="s">
        <v>32</v>
      </c>
      <c r="D21" s="37" t="s">
        <v>49</v>
      </c>
      <c r="E21" s="38" t="s">
        <v>18</v>
      </c>
      <c r="F21" s="36" t="s">
        <v>19</v>
      </c>
      <c r="G21" s="39">
        <v>22</v>
      </c>
      <c r="H21" s="40">
        <v>120000</v>
      </c>
      <c r="I21" s="41">
        <f t="shared" si="0"/>
        <v>2640000</v>
      </c>
    </row>
    <row r="22" spans="1:9" x14ac:dyDescent="0.25">
      <c r="A22" s="34">
        <v>12</v>
      </c>
      <c r="B22" s="35">
        <v>46371</v>
      </c>
      <c r="C22" s="36" t="s">
        <v>34</v>
      </c>
      <c r="D22" s="37" t="s">
        <v>51</v>
      </c>
      <c r="E22" s="38" t="s">
        <v>18</v>
      </c>
      <c r="F22" s="42" t="s">
        <v>21</v>
      </c>
      <c r="G22" s="43">
        <v>23</v>
      </c>
      <c r="H22" s="40">
        <v>120000</v>
      </c>
      <c r="I22" s="41">
        <f t="shared" si="0"/>
        <v>2760000</v>
      </c>
    </row>
    <row r="23" spans="1:9" x14ac:dyDescent="0.25">
      <c r="A23" s="34">
        <v>13</v>
      </c>
      <c r="B23" s="35">
        <v>46372</v>
      </c>
      <c r="C23" s="36" t="s">
        <v>36</v>
      </c>
      <c r="D23" s="37" t="s">
        <v>53</v>
      </c>
      <c r="E23" s="38" t="s">
        <v>18</v>
      </c>
      <c r="F23" s="36" t="s">
        <v>19</v>
      </c>
      <c r="G23" s="39">
        <v>24</v>
      </c>
      <c r="H23" s="40">
        <v>120000</v>
      </c>
      <c r="I23" s="41">
        <f t="shared" si="0"/>
        <v>2880000</v>
      </c>
    </row>
    <row r="24" spans="1:9" x14ac:dyDescent="0.25">
      <c r="A24" s="34">
        <v>14</v>
      </c>
      <c r="B24" s="35">
        <v>46373</v>
      </c>
      <c r="C24" s="36" t="s">
        <v>38</v>
      </c>
      <c r="D24" s="37" t="s">
        <v>55</v>
      </c>
      <c r="E24" s="38" t="s">
        <v>18</v>
      </c>
      <c r="F24" s="42" t="s">
        <v>21</v>
      </c>
      <c r="G24" s="43">
        <v>25</v>
      </c>
      <c r="H24" s="40">
        <v>120000</v>
      </c>
      <c r="I24" s="44">
        <f t="shared" si="0"/>
        <v>3000000</v>
      </c>
    </row>
    <row r="25" spans="1:9" x14ac:dyDescent="0.25">
      <c r="A25" s="34">
        <v>15</v>
      </c>
      <c r="B25" s="35">
        <v>46374</v>
      </c>
      <c r="C25" s="36" t="s">
        <v>40</v>
      </c>
      <c r="D25" s="37" t="s">
        <v>57</v>
      </c>
      <c r="E25" s="38" t="s">
        <v>18</v>
      </c>
      <c r="F25" s="36" t="s">
        <v>19</v>
      </c>
      <c r="G25" s="39">
        <v>26</v>
      </c>
      <c r="H25" s="40">
        <v>120000</v>
      </c>
      <c r="I25" s="44">
        <f t="shared" si="0"/>
        <v>3120000</v>
      </c>
    </row>
    <row r="26" spans="1:9" x14ac:dyDescent="0.25">
      <c r="A26" s="34">
        <v>16</v>
      </c>
      <c r="B26" s="35">
        <v>46375</v>
      </c>
      <c r="C26" s="36" t="s">
        <v>42</v>
      </c>
      <c r="D26" s="37" t="s">
        <v>59</v>
      </c>
      <c r="E26" s="38" t="s">
        <v>18</v>
      </c>
      <c r="F26" s="42" t="s">
        <v>21</v>
      </c>
      <c r="G26" s="43">
        <v>27</v>
      </c>
      <c r="H26" s="40">
        <v>120000</v>
      </c>
      <c r="I26" s="44">
        <f t="shared" si="0"/>
        <v>3240000</v>
      </c>
    </row>
    <row r="27" spans="1:9" x14ac:dyDescent="0.25">
      <c r="A27" s="34">
        <v>17</v>
      </c>
      <c r="B27" s="35">
        <v>46376</v>
      </c>
      <c r="C27" s="36" t="s">
        <v>44</v>
      </c>
      <c r="D27" s="37" t="s">
        <v>61</v>
      </c>
      <c r="E27" s="38" t="s">
        <v>18</v>
      </c>
      <c r="F27" s="36" t="s">
        <v>19</v>
      </c>
      <c r="G27" s="39">
        <v>28</v>
      </c>
      <c r="H27" s="40">
        <v>120000</v>
      </c>
      <c r="I27" s="44">
        <f t="shared" si="0"/>
        <v>3360000</v>
      </c>
    </row>
    <row r="28" spans="1:9" x14ac:dyDescent="0.25">
      <c r="A28" s="34">
        <v>18</v>
      </c>
      <c r="B28" s="35">
        <v>46377</v>
      </c>
      <c r="C28" s="36" t="s">
        <v>46</v>
      </c>
      <c r="D28" s="37" t="s">
        <v>63</v>
      </c>
      <c r="E28" s="38" t="s">
        <v>18</v>
      </c>
      <c r="F28" s="42" t="s">
        <v>21</v>
      </c>
      <c r="G28" s="43">
        <v>29</v>
      </c>
      <c r="H28" s="40">
        <v>120000</v>
      </c>
      <c r="I28" s="45">
        <f t="shared" si="0"/>
        <v>3480000</v>
      </c>
    </row>
    <row r="29" spans="1:9" x14ac:dyDescent="0.25">
      <c r="A29" s="34">
        <v>19</v>
      </c>
      <c r="B29" s="35">
        <v>46378</v>
      </c>
      <c r="C29" s="36" t="s">
        <v>48</v>
      </c>
      <c r="D29" s="37" t="s">
        <v>65</v>
      </c>
      <c r="E29" s="38" t="s">
        <v>18</v>
      </c>
      <c r="F29" s="36" t="s">
        <v>19</v>
      </c>
      <c r="G29" s="39">
        <v>30</v>
      </c>
      <c r="H29" s="40">
        <v>120000</v>
      </c>
      <c r="I29" s="41">
        <f t="shared" si="0"/>
        <v>3600000</v>
      </c>
    </row>
    <row r="30" spans="1:9" x14ac:dyDescent="0.25">
      <c r="A30" s="34">
        <v>20</v>
      </c>
      <c r="B30" s="35">
        <v>46379</v>
      </c>
      <c r="C30" s="36" t="s">
        <v>50</v>
      </c>
      <c r="D30" s="37" t="s">
        <v>67</v>
      </c>
      <c r="E30" s="38" t="s">
        <v>18</v>
      </c>
      <c r="F30" s="42" t="s">
        <v>21</v>
      </c>
      <c r="G30" s="43">
        <v>31</v>
      </c>
      <c r="H30" s="40">
        <v>120000</v>
      </c>
      <c r="I30" s="41">
        <f t="shared" si="0"/>
        <v>3720000</v>
      </c>
    </row>
    <row r="31" spans="1:9" x14ac:dyDescent="0.25">
      <c r="A31" s="34">
        <v>21</v>
      </c>
      <c r="B31" s="35">
        <v>46380</v>
      </c>
      <c r="C31" s="36" t="s">
        <v>52</v>
      </c>
      <c r="D31" s="37" t="s">
        <v>69</v>
      </c>
      <c r="E31" s="38" t="s">
        <v>18</v>
      </c>
      <c r="F31" s="36" t="s">
        <v>19</v>
      </c>
      <c r="G31" s="39">
        <v>32</v>
      </c>
      <c r="H31" s="40">
        <v>120000</v>
      </c>
      <c r="I31" s="41">
        <f t="shared" si="0"/>
        <v>3840000</v>
      </c>
    </row>
    <row r="32" spans="1:9" x14ac:dyDescent="0.25">
      <c r="A32" s="34">
        <v>22</v>
      </c>
      <c r="B32" s="35">
        <v>46381</v>
      </c>
      <c r="C32" s="36" t="s">
        <v>54</v>
      </c>
      <c r="D32" s="37" t="s">
        <v>71</v>
      </c>
      <c r="E32" s="38" t="s">
        <v>18</v>
      </c>
      <c r="F32" s="42" t="s">
        <v>21</v>
      </c>
      <c r="G32" s="43">
        <v>33</v>
      </c>
      <c r="H32" s="40">
        <v>120000</v>
      </c>
      <c r="I32" s="41">
        <f t="shared" si="0"/>
        <v>3960000</v>
      </c>
    </row>
    <row r="33" spans="1:9" x14ac:dyDescent="0.25">
      <c r="A33" s="34">
        <v>23</v>
      </c>
      <c r="B33" s="35">
        <v>46382</v>
      </c>
      <c r="C33" s="36" t="s">
        <v>56</v>
      </c>
      <c r="D33" s="37" t="s">
        <v>73</v>
      </c>
      <c r="E33" s="38" t="s">
        <v>18</v>
      </c>
      <c r="F33" s="36" t="s">
        <v>19</v>
      </c>
      <c r="G33" s="39">
        <v>34</v>
      </c>
      <c r="H33" s="40">
        <v>120000</v>
      </c>
      <c r="I33" s="41">
        <f t="shared" si="0"/>
        <v>4080000</v>
      </c>
    </row>
    <row r="34" spans="1:9" x14ac:dyDescent="0.25">
      <c r="A34" s="34">
        <v>24</v>
      </c>
      <c r="B34" s="35">
        <v>46383</v>
      </c>
      <c r="C34" s="36" t="s">
        <v>58</v>
      </c>
      <c r="D34" s="37" t="s">
        <v>75</v>
      </c>
      <c r="E34" s="38" t="s">
        <v>18</v>
      </c>
      <c r="F34" s="42" t="s">
        <v>21</v>
      </c>
      <c r="G34" s="43">
        <v>35</v>
      </c>
      <c r="H34" s="40">
        <v>120000</v>
      </c>
      <c r="I34" s="41">
        <f t="shared" si="0"/>
        <v>4200000</v>
      </c>
    </row>
    <row r="35" spans="1:9" x14ac:dyDescent="0.25">
      <c r="A35" s="34">
        <v>25</v>
      </c>
      <c r="B35" s="35">
        <v>46384</v>
      </c>
      <c r="C35" s="36" t="s">
        <v>60</v>
      </c>
      <c r="D35" s="37" t="s">
        <v>77</v>
      </c>
      <c r="E35" s="38" t="s">
        <v>18</v>
      </c>
      <c r="F35" s="36" t="s">
        <v>19</v>
      </c>
      <c r="G35" s="39">
        <v>36</v>
      </c>
      <c r="H35" s="40">
        <v>120000</v>
      </c>
      <c r="I35" s="41">
        <f t="shared" si="0"/>
        <v>4320000</v>
      </c>
    </row>
    <row r="36" spans="1:9" x14ac:dyDescent="0.25">
      <c r="A36" s="34">
        <v>26</v>
      </c>
      <c r="B36" s="35">
        <v>46385</v>
      </c>
      <c r="C36" s="36" t="s">
        <v>62</v>
      </c>
      <c r="D36" s="37" t="s">
        <v>79</v>
      </c>
      <c r="E36" s="38" t="s">
        <v>18</v>
      </c>
      <c r="F36" s="42" t="s">
        <v>21</v>
      </c>
      <c r="G36" s="43">
        <v>37</v>
      </c>
      <c r="H36" s="40">
        <v>120000</v>
      </c>
      <c r="I36" s="41">
        <f t="shared" si="0"/>
        <v>4440000</v>
      </c>
    </row>
    <row r="37" spans="1:9" x14ac:dyDescent="0.25">
      <c r="A37" s="34">
        <v>27</v>
      </c>
      <c r="B37" s="35">
        <v>46386</v>
      </c>
      <c r="C37" s="36" t="s">
        <v>64</v>
      </c>
      <c r="D37" s="37" t="s">
        <v>81</v>
      </c>
      <c r="E37" s="38" t="s">
        <v>18</v>
      </c>
      <c r="F37" s="36" t="s">
        <v>19</v>
      </c>
      <c r="G37" s="39">
        <v>38</v>
      </c>
      <c r="H37" s="40">
        <v>120000</v>
      </c>
      <c r="I37" s="41">
        <f t="shared" si="0"/>
        <v>4560000</v>
      </c>
    </row>
    <row r="38" spans="1:9" x14ac:dyDescent="0.25">
      <c r="A38" s="34">
        <v>28</v>
      </c>
      <c r="B38" s="35">
        <v>46387</v>
      </c>
      <c r="C38" s="36" t="s">
        <v>66</v>
      </c>
      <c r="D38" s="37" t="s">
        <v>83</v>
      </c>
      <c r="E38" s="38" t="s">
        <v>18</v>
      </c>
      <c r="F38" s="42" t="s">
        <v>21</v>
      </c>
      <c r="G38" s="43">
        <v>39</v>
      </c>
      <c r="H38" s="40">
        <v>120000</v>
      </c>
      <c r="I38" s="41">
        <f t="shared" si="0"/>
        <v>4680000</v>
      </c>
    </row>
    <row r="39" spans="1:9" x14ac:dyDescent="0.25">
      <c r="A39" s="34">
        <v>29</v>
      </c>
      <c r="B39" s="35">
        <v>46388</v>
      </c>
      <c r="C39" s="36" t="s">
        <v>68</v>
      </c>
      <c r="D39" s="37" t="s">
        <v>85</v>
      </c>
      <c r="E39" s="38" t="s">
        <v>18</v>
      </c>
      <c r="F39" s="36" t="s">
        <v>19</v>
      </c>
      <c r="G39" s="39">
        <v>40</v>
      </c>
      <c r="H39" s="40">
        <v>120000</v>
      </c>
      <c r="I39" s="41">
        <f t="shared" si="0"/>
        <v>4800000</v>
      </c>
    </row>
    <row r="40" spans="1:9" x14ac:dyDescent="0.25">
      <c r="A40" s="34">
        <v>30</v>
      </c>
      <c r="B40" s="35">
        <v>46389</v>
      </c>
      <c r="C40" s="36" t="s">
        <v>70</v>
      </c>
      <c r="D40" s="37" t="s">
        <v>87</v>
      </c>
      <c r="E40" s="38" t="s">
        <v>18</v>
      </c>
      <c r="F40" s="42" t="s">
        <v>21</v>
      </c>
      <c r="G40" s="43">
        <v>41</v>
      </c>
      <c r="H40" s="40">
        <v>120000</v>
      </c>
      <c r="I40" s="41">
        <f t="shared" si="0"/>
        <v>4920000</v>
      </c>
    </row>
    <row r="41" spans="1:9" x14ac:dyDescent="0.25">
      <c r="A41" s="34">
        <v>31</v>
      </c>
      <c r="B41" s="35">
        <v>46390</v>
      </c>
      <c r="C41" s="36" t="s">
        <v>72</v>
      </c>
      <c r="D41" s="37" t="s">
        <v>89</v>
      </c>
      <c r="E41" s="38" t="s">
        <v>18</v>
      </c>
      <c r="F41" s="36" t="s">
        <v>19</v>
      </c>
      <c r="G41" s="39">
        <v>42</v>
      </c>
      <c r="H41" s="40">
        <v>120000</v>
      </c>
      <c r="I41" s="41">
        <f t="shared" si="0"/>
        <v>5040000</v>
      </c>
    </row>
    <row r="42" spans="1:9" x14ac:dyDescent="0.25">
      <c r="A42" s="34">
        <v>32</v>
      </c>
      <c r="B42" s="35">
        <v>46391</v>
      </c>
      <c r="C42" s="36" t="s">
        <v>74</v>
      </c>
      <c r="D42" s="37" t="s">
        <v>91</v>
      </c>
      <c r="E42" s="38" t="s">
        <v>18</v>
      </c>
      <c r="F42" s="42" t="s">
        <v>21</v>
      </c>
      <c r="G42" s="43">
        <v>43</v>
      </c>
      <c r="H42" s="40">
        <v>120000</v>
      </c>
      <c r="I42" s="41">
        <f t="shared" si="0"/>
        <v>5160000</v>
      </c>
    </row>
    <row r="43" spans="1:9" x14ac:dyDescent="0.25">
      <c r="A43" s="34">
        <v>33</v>
      </c>
      <c r="B43" s="35">
        <v>46392</v>
      </c>
      <c r="C43" s="36" t="s">
        <v>76</v>
      </c>
      <c r="D43" s="37" t="s">
        <v>93</v>
      </c>
      <c r="E43" s="38" t="s">
        <v>18</v>
      </c>
      <c r="F43" s="36" t="s">
        <v>19</v>
      </c>
      <c r="G43" s="39">
        <v>44</v>
      </c>
      <c r="H43" s="40">
        <v>120000</v>
      </c>
      <c r="I43" s="41">
        <f t="shared" si="0"/>
        <v>5280000</v>
      </c>
    </row>
    <row r="44" spans="1:9" x14ac:dyDescent="0.25">
      <c r="A44" s="34">
        <v>34</v>
      </c>
      <c r="B44" s="35">
        <v>46393</v>
      </c>
      <c r="C44" s="36" t="s">
        <v>78</v>
      </c>
      <c r="D44" s="37" t="s">
        <v>95</v>
      </c>
      <c r="E44" s="38" t="s">
        <v>18</v>
      </c>
      <c r="F44" s="42" t="s">
        <v>21</v>
      </c>
      <c r="G44" s="43">
        <v>45</v>
      </c>
      <c r="H44" s="40">
        <v>120000</v>
      </c>
      <c r="I44" s="41">
        <f t="shared" si="0"/>
        <v>5400000</v>
      </c>
    </row>
    <row r="45" spans="1:9" x14ac:dyDescent="0.25">
      <c r="A45" s="34">
        <v>35</v>
      </c>
      <c r="B45" s="35">
        <v>46394</v>
      </c>
      <c r="C45" s="36" t="s">
        <v>80</v>
      </c>
      <c r="D45" s="37" t="s">
        <v>97</v>
      </c>
      <c r="E45" s="38" t="s">
        <v>18</v>
      </c>
      <c r="F45" s="36" t="s">
        <v>19</v>
      </c>
      <c r="G45" s="39">
        <v>46</v>
      </c>
      <c r="H45" s="40">
        <v>120000</v>
      </c>
      <c r="I45" s="41">
        <f t="shared" si="0"/>
        <v>5520000</v>
      </c>
    </row>
    <row r="46" spans="1:9" x14ac:dyDescent="0.25">
      <c r="A46" s="34">
        <v>36</v>
      </c>
      <c r="B46" s="35">
        <v>46395</v>
      </c>
      <c r="C46" s="36" t="s">
        <v>82</v>
      </c>
      <c r="D46" s="37" t="s">
        <v>99</v>
      </c>
      <c r="E46" s="38" t="s">
        <v>18</v>
      </c>
      <c r="F46" s="42" t="s">
        <v>21</v>
      </c>
      <c r="G46" s="43">
        <v>47</v>
      </c>
      <c r="H46" s="40">
        <v>120000</v>
      </c>
      <c r="I46" s="41">
        <f t="shared" si="0"/>
        <v>5640000</v>
      </c>
    </row>
    <row r="47" spans="1:9" x14ac:dyDescent="0.25">
      <c r="A47" s="34">
        <v>37</v>
      </c>
      <c r="B47" s="35">
        <v>46396</v>
      </c>
      <c r="C47" s="36" t="s">
        <v>84</v>
      </c>
      <c r="D47" s="37" t="s">
        <v>101</v>
      </c>
      <c r="E47" s="38" t="s">
        <v>18</v>
      </c>
      <c r="F47" s="36" t="s">
        <v>19</v>
      </c>
      <c r="G47" s="39">
        <v>48</v>
      </c>
      <c r="H47" s="40">
        <v>120000</v>
      </c>
      <c r="I47" s="41">
        <f t="shared" si="0"/>
        <v>5760000</v>
      </c>
    </row>
    <row r="48" spans="1:9" x14ac:dyDescent="0.25">
      <c r="A48" s="34">
        <v>38</v>
      </c>
      <c r="B48" s="35">
        <v>46397</v>
      </c>
      <c r="C48" s="36" t="s">
        <v>86</v>
      </c>
      <c r="D48" s="37" t="s">
        <v>103</v>
      </c>
      <c r="E48" s="38" t="s">
        <v>18</v>
      </c>
      <c r="F48" s="42" t="s">
        <v>21</v>
      </c>
      <c r="G48" s="43">
        <v>49</v>
      </c>
      <c r="H48" s="40">
        <v>120000</v>
      </c>
      <c r="I48" s="41">
        <f t="shared" si="0"/>
        <v>5880000</v>
      </c>
    </row>
    <row r="49" spans="1:9" x14ac:dyDescent="0.25">
      <c r="A49" s="34">
        <v>39</v>
      </c>
      <c r="B49" s="35">
        <v>46398</v>
      </c>
      <c r="C49" s="36" t="s">
        <v>88</v>
      </c>
      <c r="D49" s="37" t="s">
        <v>105</v>
      </c>
      <c r="E49" s="38" t="s">
        <v>18</v>
      </c>
      <c r="F49" s="36" t="s">
        <v>19</v>
      </c>
      <c r="G49" s="39">
        <v>50</v>
      </c>
      <c r="H49" s="40">
        <v>120000</v>
      </c>
      <c r="I49" s="41">
        <f t="shared" si="0"/>
        <v>6000000</v>
      </c>
    </row>
    <row r="50" spans="1:9" x14ac:dyDescent="0.25">
      <c r="A50" s="34">
        <v>40</v>
      </c>
      <c r="B50" s="35">
        <v>46399</v>
      </c>
      <c r="C50" s="36" t="s">
        <v>90</v>
      </c>
      <c r="D50" s="37" t="s">
        <v>107</v>
      </c>
      <c r="E50" s="38" t="s">
        <v>18</v>
      </c>
      <c r="F50" s="42" t="s">
        <v>21</v>
      </c>
      <c r="G50" s="43">
        <v>51</v>
      </c>
      <c r="H50" s="40">
        <v>120000</v>
      </c>
      <c r="I50" s="41">
        <f t="shared" si="0"/>
        <v>6120000</v>
      </c>
    </row>
    <row r="51" spans="1:9" x14ac:dyDescent="0.25">
      <c r="A51" s="34">
        <v>41</v>
      </c>
      <c r="B51" s="35">
        <v>46400</v>
      </c>
      <c r="C51" s="36" t="s">
        <v>92</v>
      </c>
      <c r="D51" s="37" t="s">
        <v>109</v>
      </c>
      <c r="E51" s="38" t="s">
        <v>18</v>
      </c>
      <c r="F51" s="36" t="s">
        <v>19</v>
      </c>
      <c r="G51" s="39">
        <v>52</v>
      </c>
      <c r="H51" s="40">
        <v>120000</v>
      </c>
      <c r="I51" s="41">
        <f t="shared" si="0"/>
        <v>6240000</v>
      </c>
    </row>
    <row r="52" spans="1:9" x14ac:dyDescent="0.25">
      <c r="A52" s="34">
        <v>42</v>
      </c>
      <c r="B52" s="35">
        <v>46401</v>
      </c>
      <c r="C52" s="36" t="s">
        <v>94</v>
      </c>
      <c r="D52" s="37" t="s">
        <v>111</v>
      </c>
      <c r="E52" s="38" t="s">
        <v>18</v>
      </c>
      <c r="F52" s="42" t="s">
        <v>21</v>
      </c>
      <c r="G52" s="43">
        <v>53</v>
      </c>
      <c r="H52" s="40">
        <v>120000</v>
      </c>
      <c r="I52" s="41">
        <f t="shared" si="0"/>
        <v>6360000</v>
      </c>
    </row>
    <row r="53" spans="1:9" x14ac:dyDescent="0.25">
      <c r="A53" s="34">
        <v>43</v>
      </c>
      <c r="B53" s="35">
        <v>46402</v>
      </c>
      <c r="C53" s="36" t="s">
        <v>96</v>
      </c>
      <c r="D53" s="37" t="s">
        <v>113</v>
      </c>
      <c r="E53" s="38" t="s">
        <v>18</v>
      </c>
      <c r="F53" s="36" t="s">
        <v>19</v>
      </c>
      <c r="G53" s="39">
        <v>54</v>
      </c>
      <c r="H53" s="40">
        <v>120000</v>
      </c>
      <c r="I53" s="41">
        <f t="shared" si="0"/>
        <v>6480000</v>
      </c>
    </row>
    <row r="54" spans="1:9" x14ac:dyDescent="0.25">
      <c r="A54" s="34">
        <v>44</v>
      </c>
      <c r="B54" s="35">
        <v>46403</v>
      </c>
      <c r="C54" s="36" t="s">
        <v>98</v>
      </c>
      <c r="D54" s="37" t="s">
        <v>115</v>
      </c>
      <c r="E54" s="38" t="s">
        <v>18</v>
      </c>
      <c r="F54" s="42" t="s">
        <v>21</v>
      </c>
      <c r="G54" s="43">
        <v>55</v>
      </c>
      <c r="H54" s="40">
        <v>120000</v>
      </c>
      <c r="I54" s="41">
        <f t="shared" si="0"/>
        <v>6600000</v>
      </c>
    </row>
    <row r="55" spans="1:9" x14ac:dyDescent="0.25">
      <c r="A55" s="34">
        <v>45</v>
      </c>
      <c r="B55" s="35">
        <v>46404</v>
      </c>
      <c r="C55" s="36" t="s">
        <v>100</v>
      </c>
      <c r="D55" s="37" t="s">
        <v>117</v>
      </c>
      <c r="E55" s="38" t="s">
        <v>18</v>
      </c>
      <c r="F55" s="36" t="s">
        <v>19</v>
      </c>
      <c r="G55" s="39">
        <v>56</v>
      </c>
      <c r="H55" s="40">
        <v>120000</v>
      </c>
      <c r="I55" s="41">
        <f t="shared" si="0"/>
        <v>6720000</v>
      </c>
    </row>
    <row r="56" spans="1:9" x14ac:dyDescent="0.25">
      <c r="A56" s="34">
        <v>46</v>
      </c>
      <c r="B56" s="35">
        <v>46405</v>
      </c>
      <c r="C56" s="36" t="s">
        <v>102</v>
      </c>
      <c r="D56" s="37" t="s">
        <v>119</v>
      </c>
      <c r="E56" s="38" t="s">
        <v>18</v>
      </c>
      <c r="F56" s="42" t="s">
        <v>21</v>
      </c>
      <c r="G56" s="43">
        <v>57</v>
      </c>
      <c r="H56" s="40">
        <v>120000</v>
      </c>
      <c r="I56" s="41">
        <f t="shared" si="0"/>
        <v>6840000</v>
      </c>
    </row>
    <row r="57" spans="1:9" x14ac:dyDescent="0.25">
      <c r="A57" s="34">
        <v>47</v>
      </c>
      <c r="B57" s="35">
        <v>46406</v>
      </c>
      <c r="C57" s="36" t="s">
        <v>104</v>
      </c>
      <c r="D57" s="37" t="s">
        <v>121</v>
      </c>
      <c r="E57" s="38" t="s">
        <v>18</v>
      </c>
      <c r="F57" s="36" t="s">
        <v>19</v>
      </c>
      <c r="G57" s="39">
        <v>58</v>
      </c>
      <c r="H57" s="40">
        <v>120000</v>
      </c>
      <c r="I57" s="41">
        <f t="shared" si="0"/>
        <v>6960000</v>
      </c>
    </row>
    <row r="58" spans="1:9" x14ac:dyDescent="0.25">
      <c r="A58" s="34">
        <v>48</v>
      </c>
      <c r="B58" s="35">
        <v>46407</v>
      </c>
      <c r="C58" s="36" t="s">
        <v>106</v>
      </c>
      <c r="D58" s="37" t="s">
        <v>123</v>
      </c>
      <c r="E58" s="38" t="s">
        <v>18</v>
      </c>
      <c r="F58" s="42" t="s">
        <v>21</v>
      </c>
      <c r="G58" s="43">
        <v>59</v>
      </c>
      <c r="H58" s="40">
        <v>120000</v>
      </c>
      <c r="I58" s="41">
        <f t="shared" si="0"/>
        <v>7080000</v>
      </c>
    </row>
    <row r="59" spans="1:9" x14ac:dyDescent="0.25">
      <c r="A59" s="34">
        <v>49</v>
      </c>
      <c r="B59" s="35">
        <v>46408</v>
      </c>
      <c r="C59" s="36" t="s">
        <v>108</v>
      </c>
      <c r="D59" s="37" t="s">
        <v>125</v>
      </c>
      <c r="E59" s="38" t="s">
        <v>18</v>
      </c>
      <c r="F59" s="36" t="s">
        <v>19</v>
      </c>
      <c r="G59" s="39">
        <v>60</v>
      </c>
      <c r="H59" s="40">
        <v>120000</v>
      </c>
      <c r="I59" s="41">
        <f t="shared" si="0"/>
        <v>7200000</v>
      </c>
    </row>
    <row r="60" spans="1:9" x14ac:dyDescent="0.25">
      <c r="A60" s="34">
        <v>50</v>
      </c>
      <c r="B60" s="35">
        <v>46409</v>
      </c>
      <c r="C60" s="36" t="s">
        <v>110</v>
      </c>
      <c r="D60" s="37" t="s">
        <v>127</v>
      </c>
      <c r="E60" s="38" t="s">
        <v>18</v>
      </c>
      <c r="F60" s="42" t="s">
        <v>21</v>
      </c>
      <c r="G60" s="43">
        <v>61</v>
      </c>
      <c r="H60" s="40">
        <v>120000</v>
      </c>
      <c r="I60" s="41">
        <f t="shared" si="0"/>
        <v>7320000</v>
      </c>
    </row>
    <row r="61" spans="1:9" x14ac:dyDescent="0.25">
      <c r="A61" s="34">
        <v>51</v>
      </c>
      <c r="B61" s="35">
        <v>46410</v>
      </c>
      <c r="C61" s="36" t="s">
        <v>112</v>
      </c>
      <c r="D61" s="37" t="s">
        <v>129</v>
      </c>
      <c r="E61" s="38" t="s">
        <v>18</v>
      </c>
      <c r="F61" s="36" t="s">
        <v>19</v>
      </c>
      <c r="G61" s="39">
        <v>62</v>
      </c>
      <c r="H61" s="40">
        <v>120000</v>
      </c>
      <c r="I61" s="41">
        <f t="shared" si="0"/>
        <v>7440000</v>
      </c>
    </row>
    <row r="62" spans="1:9" x14ac:dyDescent="0.25">
      <c r="A62" s="34">
        <v>52</v>
      </c>
      <c r="B62" s="35">
        <v>46411</v>
      </c>
      <c r="C62" s="36" t="s">
        <v>114</v>
      </c>
      <c r="D62" s="37" t="s">
        <v>131</v>
      </c>
      <c r="E62" s="38" t="s">
        <v>18</v>
      </c>
      <c r="F62" s="42" t="s">
        <v>21</v>
      </c>
      <c r="G62" s="43">
        <v>63</v>
      </c>
      <c r="H62" s="40">
        <v>120000</v>
      </c>
      <c r="I62" s="41">
        <f t="shared" si="0"/>
        <v>7560000</v>
      </c>
    </row>
    <row r="63" spans="1:9" x14ac:dyDescent="0.25">
      <c r="A63" s="34">
        <v>53</v>
      </c>
      <c r="B63" s="35">
        <v>46412</v>
      </c>
      <c r="C63" s="36" t="s">
        <v>116</v>
      </c>
      <c r="D63" s="37" t="s">
        <v>133</v>
      </c>
      <c r="E63" s="38" t="s">
        <v>18</v>
      </c>
      <c r="F63" s="36" t="s">
        <v>19</v>
      </c>
      <c r="G63" s="39">
        <v>64</v>
      </c>
      <c r="H63" s="40">
        <v>120000</v>
      </c>
      <c r="I63" s="41">
        <f t="shared" si="0"/>
        <v>7680000</v>
      </c>
    </row>
    <row r="64" spans="1:9" x14ac:dyDescent="0.25">
      <c r="A64" s="34">
        <v>54</v>
      </c>
      <c r="B64" s="35">
        <v>46413</v>
      </c>
      <c r="C64" s="36" t="s">
        <v>118</v>
      </c>
      <c r="D64" s="37" t="s">
        <v>135</v>
      </c>
      <c r="E64" s="38" t="s">
        <v>18</v>
      </c>
      <c r="F64" s="42" t="s">
        <v>21</v>
      </c>
      <c r="G64" s="43">
        <v>65</v>
      </c>
      <c r="H64" s="40">
        <v>120000</v>
      </c>
      <c r="I64" s="41">
        <f t="shared" si="0"/>
        <v>7800000</v>
      </c>
    </row>
    <row r="65" spans="1:9" x14ac:dyDescent="0.25">
      <c r="A65" s="34">
        <v>55</v>
      </c>
      <c r="B65" s="35">
        <v>46414</v>
      </c>
      <c r="C65" s="36" t="s">
        <v>120</v>
      </c>
      <c r="D65" s="37" t="s">
        <v>151</v>
      </c>
      <c r="E65" s="38" t="s">
        <v>18</v>
      </c>
      <c r="F65" s="36" t="s">
        <v>19</v>
      </c>
      <c r="G65" s="39">
        <v>66</v>
      </c>
      <c r="H65" s="40">
        <v>120000</v>
      </c>
      <c r="I65" s="41">
        <f t="shared" si="0"/>
        <v>7920000</v>
      </c>
    </row>
    <row r="66" spans="1:9" x14ac:dyDescent="0.25">
      <c r="A66" s="34">
        <v>56</v>
      </c>
      <c r="B66" s="35">
        <v>46415</v>
      </c>
      <c r="C66" s="36" t="s">
        <v>122</v>
      </c>
      <c r="D66" s="37" t="s">
        <v>152</v>
      </c>
      <c r="E66" s="38" t="s">
        <v>18</v>
      </c>
      <c r="F66" s="42" t="s">
        <v>21</v>
      </c>
      <c r="G66" s="43">
        <v>67</v>
      </c>
      <c r="H66" s="40">
        <v>120000</v>
      </c>
      <c r="I66" s="41">
        <f t="shared" si="0"/>
        <v>8040000</v>
      </c>
    </row>
    <row r="67" spans="1:9" x14ac:dyDescent="0.25">
      <c r="A67" s="34">
        <v>57</v>
      </c>
      <c r="B67" s="35">
        <v>46416</v>
      </c>
      <c r="C67" s="36" t="s">
        <v>124</v>
      </c>
      <c r="D67" s="37" t="s">
        <v>153</v>
      </c>
      <c r="E67" s="38" t="s">
        <v>18</v>
      </c>
      <c r="F67" s="36" t="s">
        <v>19</v>
      </c>
      <c r="G67" s="39">
        <v>68</v>
      </c>
      <c r="H67" s="40">
        <v>120000</v>
      </c>
      <c r="I67" s="41">
        <f t="shared" si="0"/>
        <v>8160000</v>
      </c>
    </row>
    <row r="68" spans="1:9" x14ac:dyDescent="0.25">
      <c r="A68" s="34">
        <v>58</v>
      </c>
      <c r="B68" s="35">
        <v>46417</v>
      </c>
      <c r="C68" s="36" t="s">
        <v>126</v>
      </c>
      <c r="D68" s="37" t="s">
        <v>154</v>
      </c>
      <c r="E68" s="38" t="s">
        <v>18</v>
      </c>
      <c r="F68" s="42" t="s">
        <v>21</v>
      </c>
      <c r="G68" s="43">
        <v>69</v>
      </c>
      <c r="H68" s="40">
        <v>120000</v>
      </c>
      <c r="I68" s="41">
        <f t="shared" si="0"/>
        <v>8280000</v>
      </c>
    </row>
    <row r="69" spans="1:9" x14ac:dyDescent="0.25">
      <c r="A69" s="34">
        <v>59</v>
      </c>
      <c r="B69" s="35">
        <v>46418</v>
      </c>
      <c r="C69" s="36" t="s">
        <v>128</v>
      </c>
      <c r="D69" s="37" t="s">
        <v>155</v>
      </c>
      <c r="E69" s="38" t="s">
        <v>18</v>
      </c>
      <c r="F69" s="36" t="s">
        <v>19</v>
      </c>
      <c r="G69" s="39">
        <v>70</v>
      </c>
      <c r="H69" s="40">
        <v>120000</v>
      </c>
      <c r="I69" s="41">
        <f t="shared" si="0"/>
        <v>8400000</v>
      </c>
    </row>
    <row r="70" spans="1:9" x14ac:dyDescent="0.25">
      <c r="A70" s="34">
        <v>60</v>
      </c>
      <c r="B70" s="35">
        <v>46419</v>
      </c>
      <c r="C70" s="36" t="s">
        <v>130</v>
      </c>
      <c r="D70" s="37" t="s">
        <v>156</v>
      </c>
      <c r="E70" s="38" t="s">
        <v>18</v>
      </c>
      <c r="F70" s="42" t="s">
        <v>21</v>
      </c>
      <c r="G70" s="43">
        <v>71</v>
      </c>
      <c r="H70" s="40">
        <v>120000</v>
      </c>
      <c r="I70" s="41">
        <f t="shared" si="0"/>
        <v>8520000</v>
      </c>
    </row>
    <row r="71" spans="1:9" x14ac:dyDescent="0.25">
      <c r="A71" s="34">
        <v>61</v>
      </c>
      <c r="B71" s="35">
        <v>46420</v>
      </c>
      <c r="C71" s="36" t="s">
        <v>132</v>
      </c>
      <c r="D71" s="37" t="s">
        <v>157</v>
      </c>
      <c r="E71" s="38" t="s">
        <v>18</v>
      </c>
      <c r="F71" s="36" t="s">
        <v>19</v>
      </c>
      <c r="G71" s="39">
        <v>72</v>
      </c>
      <c r="H71" s="40">
        <v>120000</v>
      </c>
      <c r="I71" s="46">
        <f t="shared" si="0"/>
        <v>8640000</v>
      </c>
    </row>
    <row r="72" spans="1:9" x14ac:dyDescent="0.25">
      <c r="A72" s="34">
        <v>62</v>
      </c>
      <c r="B72" s="35">
        <v>46421</v>
      </c>
      <c r="C72" s="36" t="s">
        <v>134</v>
      </c>
      <c r="D72" s="37" t="s">
        <v>158</v>
      </c>
      <c r="E72" s="38" t="s">
        <v>18</v>
      </c>
      <c r="F72" s="42" t="s">
        <v>21</v>
      </c>
      <c r="G72" s="43">
        <v>73</v>
      </c>
      <c r="H72" s="40">
        <v>120000</v>
      </c>
      <c r="I72" s="41">
        <f t="shared" si="0"/>
        <v>8760000</v>
      </c>
    </row>
    <row r="73" spans="1:9" x14ac:dyDescent="0.25">
      <c r="A73" s="34">
        <v>62</v>
      </c>
      <c r="B73" s="35">
        <v>46421</v>
      </c>
      <c r="C73" s="36" t="s">
        <v>134</v>
      </c>
      <c r="D73" s="37" t="s">
        <v>159</v>
      </c>
      <c r="E73" s="38" t="s">
        <v>18</v>
      </c>
      <c r="F73" s="42" t="s">
        <v>21</v>
      </c>
      <c r="G73" s="43">
        <v>73</v>
      </c>
      <c r="H73" s="40">
        <v>120000</v>
      </c>
      <c r="I73" s="41">
        <f t="shared" si="0"/>
        <v>8760000</v>
      </c>
    </row>
    <row r="74" spans="1:9" ht="18.75" x14ac:dyDescent="0.3">
      <c r="A74" s="26"/>
      <c r="B74" s="47" t="s">
        <v>136</v>
      </c>
      <c r="C74" s="48"/>
      <c r="D74" s="48"/>
      <c r="E74" s="48"/>
      <c r="F74" s="48"/>
      <c r="G74" s="26"/>
      <c r="H74" s="49">
        <f>SUM(H11:H73)</f>
        <v>7560000</v>
      </c>
      <c r="I74" s="49">
        <f>SUM(I11:I73)</f>
        <v>324960000</v>
      </c>
    </row>
    <row r="75" spans="1:9" ht="15.75" thickBot="1" x14ac:dyDescent="0.3">
      <c r="A75" s="50"/>
      <c r="B75" s="51"/>
      <c r="C75" s="52"/>
      <c r="D75" s="53"/>
      <c r="E75" s="54"/>
      <c r="F75" s="53"/>
      <c r="G75" s="55"/>
      <c r="H75" s="56"/>
      <c r="I75" s="57"/>
    </row>
    <row r="76" spans="1:9" x14ac:dyDescent="0.25">
      <c r="A76" s="58"/>
      <c r="B76" s="59" t="s">
        <v>137</v>
      </c>
      <c r="C76" s="17" t="s">
        <v>16</v>
      </c>
      <c r="D76" s="17" t="s">
        <v>16</v>
      </c>
      <c r="E76" s="17" t="s">
        <v>16</v>
      </c>
      <c r="F76" s="17" t="s">
        <v>16</v>
      </c>
      <c r="G76" s="60"/>
      <c r="H76" s="17" t="s">
        <v>16</v>
      </c>
      <c r="I76" s="61"/>
    </row>
    <row r="77" spans="1:9" x14ac:dyDescent="0.25">
      <c r="A77" s="62"/>
      <c r="B77" s="63" t="s">
        <v>16</v>
      </c>
      <c r="C77" s="64" t="s">
        <v>16</v>
      </c>
      <c r="D77" s="64" t="s">
        <v>16</v>
      </c>
      <c r="E77" s="64" t="s">
        <v>16</v>
      </c>
      <c r="F77" s="64" t="s">
        <v>16</v>
      </c>
      <c r="G77" s="62"/>
      <c r="H77" s="64" t="s">
        <v>16</v>
      </c>
      <c r="I77" s="64" t="s">
        <v>16</v>
      </c>
    </row>
    <row r="78" spans="1:9" x14ac:dyDescent="0.25">
      <c r="A78" s="65"/>
      <c r="B78" s="63" t="s">
        <v>16</v>
      </c>
      <c r="C78" s="64" t="s">
        <v>16</v>
      </c>
      <c r="D78" s="64" t="s">
        <v>16</v>
      </c>
      <c r="E78" s="64" t="s">
        <v>16</v>
      </c>
      <c r="F78" s="64" t="s">
        <v>16</v>
      </c>
      <c r="G78" s="62"/>
      <c r="H78" s="64" t="s">
        <v>16</v>
      </c>
      <c r="I78" s="64" t="s">
        <v>16</v>
      </c>
    </row>
    <row r="79" spans="1:9" ht="15.75" thickBot="1" x14ac:dyDescent="0.3">
      <c r="A79" s="66"/>
      <c r="B79" s="67" t="s">
        <v>16</v>
      </c>
      <c r="C79" s="68" t="s">
        <v>16</v>
      </c>
      <c r="D79" s="68" t="s">
        <v>16</v>
      </c>
      <c r="E79" s="68" t="s">
        <v>16</v>
      </c>
      <c r="F79" s="68" t="s">
        <v>16</v>
      </c>
      <c r="G79" s="69"/>
      <c r="H79" s="68" t="s">
        <v>16</v>
      </c>
      <c r="I79" s="68" t="s">
        <v>16</v>
      </c>
    </row>
    <row r="80" spans="1:9" ht="25.5" thickBot="1" x14ac:dyDescent="0.3">
      <c r="A80" s="70"/>
      <c r="B80" s="71" t="s">
        <v>138</v>
      </c>
      <c r="C80" s="72"/>
      <c r="D80" s="73" t="s">
        <v>139</v>
      </c>
      <c r="E80" s="74" t="s">
        <v>140</v>
      </c>
      <c r="F80" s="75" t="s">
        <v>141</v>
      </c>
      <c r="G80" s="76"/>
      <c r="H80" s="77" t="s">
        <v>142</v>
      </c>
      <c r="I80" s="77" t="s">
        <v>142</v>
      </c>
    </row>
    <row r="81" spans="1:9" x14ac:dyDescent="0.25">
      <c r="A81" s="78"/>
      <c r="B81" s="79" t="s">
        <v>16</v>
      </c>
      <c r="C81" s="80" t="s">
        <v>16</v>
      </c>
      <c r="D81" s="81" t="s">
        <v>16</v>
      </c>
      <c r="E81" s="82" t="s">
        <v>16</v>
      </c>
      <c r="F81" s="81" t="s">
        <v>16</v>
      </c>
      <c r="G81" s="83" t="s">
        <v>16</v>
      </c>
      <c r="H81" s="84" t="s">
        <v>16</v>
      </c>
      <c r="I81" s="80" t="s">
        <v>16</v>
      </c>
    </row>
    <row r="82" spans="1:9" x14ac:dyDescent="0.25">
      <c r="A82" s="78"/>
      <c r="B82" s="79" t="s">
        <v>16</v>
      </c>
      <c r="C82" s="80" t="s">
        <v>16</v>
      </c>
      <c r="D82" s="81" t="s">
        <v>16</v>
      </c>
      <c r="E82" s="82" t="s">
        <v>16</v>
      </c>
      <c r="F82" s="81" t="s">
        <v>16</v>
      </c>
      <c r="G82" s="83" t="s">
        <v>16</v>
      </c>
      <c r="H82" s="84" t="s">
        <v>16</v>
      </c>
      <c r="I82" s="80" t="s">
        <v>16</v>
      </c>
    </row>
    <row r="83" spans="1:9" x14ac:dyDescent="0.25">
      <c r="A83" s="78"/>
      <c r="B83" s="79" t="s">
        <v>16</v>
      </c>
      <c r="C83" s="80" t="s">
        <v>16</v>
      </c>
      <c r="D83" s="81" t="s">
        <v>16</v>
      </c>
      <c r="E83" s="82" t="s">
        <v>143</v>
      </c>
      <c r="F83" s="81" t="s">
        <v>16</v>
      </c>
      <c r="G83" s="83" t="s">
        <v>16</v>
      </c>
      <c r="H83" s="84" t="s">
        <v>16</v>
      </c>
      <c r="I83" s="80" t="s">
        <v>16</v>
      </c>
    </row>
    <row r="84" spans="1:9" ht="15.75" thickBot="1" x14ac:dyDescent="0.3">
      <c r="A84" s="78"/>
      <c r="B84" s="85" t="s">
        <v>16</v>
      </c>
      <c r="C84" s="86" t="s">
        <v>16</v>
      </c>
      <c r="D84" s="81" t="s">
        <v>16</v>
      </c>
      <c r="E84" s="82" t="s">
        <v>16</v>
      </c>
      <c r="F84" s="81" t="s">
        <v>16</v>
      </c>
      <c r="G84" s="83" t="s">
        <v>16</v>
      </c>
      <c r="H84" s="84" t="s">
        <v>16</v>
      </c>
      <c r="I84" s="80" t="s">
        <v>0</v>
      </c>
    </row>
    <row r="85" spans="1:9" ht="15.75" thickBot="1" x14ac:dyDescent="0.3">
      <c r="A85" s="87"/>
      <c r="B85" s="88" t="s">
        <v>144</v>
      </c>
      <c r="C85" s="89"/>
      <c r="D85" s="90" t="s">
        <v>145</v>
      </c>
      <c r="E85" s="91" t="s">
        <v>146</v>
      </c>
      <c r="F85" s="92" t="s">
        <v>147</v>
      </c>
      <c r="G85" s="93"/>
      <c r="H85" s="94" t="s">
        <v>148</v>
      </c>
      <c r="I85" s="94" t="s">
        <v>149</v>
      </c>
    </row>
    <row r="86" spans="1:9" x14ac:dyDescent="0.25">
      <c r="A86" s="1"/>
      <c r="B86" s="2"/>
      <c r="C86" s="3"/>
      <c r="D86" s="3" t="s">
        <v>150</v>
      </c>
      <c r="E86" s="3"/>
      <c r="F86" s="3"/>
      <c r="G86" s="1"/>
      <c r="H86" s="3"/>
      <c r="I86" s="3"/>
    </row>
  </sheetData>
  <phoneticPr fontId="7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 newwicker</dc:creator>
  <cp:lastModifiedBy>ita newwicker</cp:lastModifiedBy>
  <dcterms:created xsi:type="dcterms:W3CDTF">2026-04-26T12:16:43Z</dcterms:created>
  <dcterms:modified xsi:type="dcterms:W3CDTF">2026-04-29T13:21:12Z</dcterms:modified>
</cp:coreProperties>
</file>